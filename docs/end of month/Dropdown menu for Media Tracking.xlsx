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iewhite/Downloads/"/>
    </mc:Choice>
  </mc:AlternateContent>
  <xr:revisionPtr revIDLastSave="0" documentId="8_{5CF47AC8-6440-EE40-975E-4FAA6A6122D8}" xr6:coauthVersionLast="47" xr6:coauthVersionMax="47" xr10:uidLastSave="{00000000-0000-0000-0000-000000000000}"/>
  <bookViews>
    <workbookView xWindow="2340" yWindow="1820" windowWidth="45960" windowHeight="22460" xr2:uid="{6CD22DAF-1A2B-2144-8082-70B777E082B9}"/>
  </bookViews>
  <sheets>
    <sheet name="Dropdown Menu + INV #'s" sheetId="1" r:id="rId1"/>
  </sheets>
  <externalReferences>
    <externalReference r:id="rId2"/>
  </externalReferences>
  <definedNames>
    <definedName name="OLE_LINK8">#REF!</definedName>
    <definedName name="_xlnm.Print_Area" localSheetId="0">'Dropdown Menu + INV #''s'!$A$1:$C$71</definedName>
    <definedName name="Z_63646D03_34EE_C74C_B2D0_EF67E61B6D61_.wvu.PrintArea" localSheetId="0" hidden="1">'Dropdown Menu + INV #''s'!$A$1:$C$71</definedName>
    <definedName name="Z_86FC30E3_6DD4_064C_B67F_C03CC8CA82DA_.wvu.PrintArea" localSheetId="0" hidden="1">'Dropdown Menu + INV #''s'!$A$1:$C$71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2" i="1"/>
</calcChain>
</file>

<file path=xl/sharedStrings.xml><?xml version="1.0" encoding="utf-8"?>
<sst xmlns="http://schemas.openxmlformats.org/spreadsheetml/2006/main" count="169" uniqueCount="133">
  <si>
    <t>MEDIA - Tracking Category 1</t>
  </si>
  <si>
    <t>Dropdown list A3 to A64</t>
  </si>
  <si>
    <t>INVOICE #'s</t>
  </si>
  <si>
    <t>MONTHLY REFERENCE - Just change month - is linked to all sheets</t>
  </si>
  <si>
    <t>First Invoice # Used</t>
  </si>
  <si>
    <t>Then Have linked the rest of the spreadsheets to plus 01 from this.</t>
  </si>
  <si>
    <t>OCTOBER - Media &amp; Production Charges</t>
  </si>
  <si>
    <t>client sheet reference applies to</t>
  </si>
  <si>
    <t xml:space="preserve">Billboards </t>
  </si>
  <si>
    <t>(220) APN Outdoor (Trading) Pty Ltd</t>
  </si>
  <si>
    <t>Last Invoice # Used</t>
  </si>
  <si>
    <t>NCB</t>
  </si>
  <si>
    <t>OCTOBER - Media &amp; Production Charges (Passenger Vehicle)</t>
  </si>
  <si>
    <t>Waverley VW</t>
  </si>
  <si>
    <t>Carsales.com.au</t>
  </si>
  <si>
    <t>(220) Media only (Data is IT/Cloud)</t>
  </si>
  <si>
    <t>OCTOBER - Media &amp; Production Charges (Commercial Vehicle)</t>
  </si>
  <si>
    <t>Cinema</t>
  </si>
  <si>
    <t>(220) Val Morgan &amp; Star Media Platinum, Media Motive</t>
  </si>
  <si>
    <t>OCTOBER - Media &amp; Production Charges (Service)</t>
  </si>
  <si>
    <t>Digital Advertising</t>
  </si>
  <si>
    <t>(215) Digital Management Fee ONLY: Adwords/Google eDMS, SMS M'ment, Wash files etc</t>
  </si>
  <si>
    <t>OCTOBER - LAM Media &amp; Production Charges</t>
  </si>
  <si>
    <t>Nthn MG</t>
  </si>
  <si>
    <t>Digital Media-Banners</t>
  </si>
  <si>
    <t xml:space="preserve">(220) inc: Epoch Times, </t>
  </si>
  <si>
    <t>OCTOBER - HSV Media &amp; Production Charges</t>
  </si>
  <si>
    <t>Digital Media-YouTube</t>
  </si>
  <si>
    <t>(330) Other Media - (Google GST Payable)</t>
  </si>
  <si>
    <t xml:space="preserve"> </t>
  </si>
  <si>
    <t>OCTOBER - Website Maintenance</t>
  </si>
  <si>
    <t>Dispatch Fees TVC</t>
  </si>
  <si>
    <t>(330) Other Media - GST (Dispatch Fees TVC)</t>
  </si>
  <si>
    <t>OCTOBER - Monthly Hosting</t>
  </si>
  <si>
    <t>Emailing</t>
  </si>
  <si>
    <t>(330) Other Media (Campaign Monitor-GST)</t>
  </si>
  <si>
    <t>OCTOBER - Digital Billboard</t>
  </si>
  <si>
    <t>NMG X5</t>
  </si>
  <si>
    <t>Facebook Ads</t>
  </si>
  <si>
    <t>(330) Other Media - FRE</t>
  </si>
  <si>
    <t>OCTOBER - Shopping Centre Display</t>
  </si>
  <si>
    <t>Google Ads</t>
  </si>
  <si>
    <t>(330) Other Media - GST</t>
  </si>
  <si>
    <t>OCTOBER - Social Media</t>
  </si>
  <si>
    <t>Impact Screen</t>
  </si>
  <si>
    <t>(220) Media - Val Morgan Outdoor</t>
  </si>
  <si>
    <t>OCTOBER - VMS Board Display</t>
  </si>
  <si>
    <t>IT &amp; Cloud Platforms</t>
  </si>
  <si>
    <t>(325) IT/Cloud Platforms, carsales uploads, Customer cloud Storage</t>
  </si>
  <si>
    <t>OCTOBER -  Victorian Dealer Co-op</t>
  </si>
  <si>
    <t>MG</t>
  </si>
  <si>
    <t>LinkedIN</t>
  </si>
  <si>
    <t>OCTOBER - Media &amp; Production Charges (Used Cars)</t>
  </si>
  <si>
    <t>CDMG</t>
  </si>
  <si>
    <t>Marketing &amp; Media</t>
  </si>
  <si>
    <t xml:space="preserve">(215) Management Fees, Bookings, </t>
  </si>
  <si>
    <t>OCTOBER - National Campaign</t>
  </si>
  <si>
    <t>New Age Caravan manufactuer</t>
  </si>
  <si>
    <t>Magazine Publications</t>
  </si>
  <si>
    <t>(220) Media</t>
  </si>
  <si>
    <t>OCTOBER - Media &amp; Production Charges (Used Vehicles)</t>
  </si>
  <si>
    <t>Microsoft Ads</t>
  </si>
  <si>
    <t>OCTOBER - Media &amp; Production Charges for Traralgon Snowy River RV</t>
  </si>
  <si>
    <t>Snowy River RV</t>
  </si>
  <si>
    <t>MMS</t>
  </si>
  <si>
    <t>OCTOBER - Advertising Screen</t>
  </si>
  <si>
    <t>FTG Crystal Clear Digital VMS board</t>
  </si>
  <si>
    <t>Paper - Epoch Times</t>
  </si>
  <si>
    <t>Paper - Fairfax</t>
  </si>
  <si>
    <t>Paper - Herald Sun</t>
  </si>
  <si>
    <t>Paper - Indus Age</t>
  </si>
  <si>
    <t>Paper - Jewish News</t>
  </si>
  <si>
    <t>Paper - Korean</t>
  </si>
  <si>
    <t>(220) Media: Korean Today</t>
  </si>
  <si>
    <t>Paper - Leader</t>
  </si>
  <si>
    <t>(220) MMP: Ivanhoe &amp; Valley Weekly / The Eastern / Northern Star Weekly</t>
  </si>
  <si>
    <t>Paper - Metro Media Services</t>
  </si>
  <si>
    <t>(220) SW Brimbank, SW Northern</t>
  </si>
  <si>
    <t>Paper - MMP Star</t>
  </si>
  <si>
    <t>(220) WesternPort, Southern Peninsula &amp; MorningtonNews, Frankston News</t>
  </si>
  <si>
    <t>Paper - MPNG</t>
  </si>
  <si>
    <t>(220) NSG: Mornington Peninsula News Group - Mornington/ westernport / southernport News</t>
  </si>
  <si>
    <t>Paper - Network Classifieds</t>
  </si>
  <si>
    <t>(220) Cranbourne News / Dandenong Journal / Berwick News</t>
  </si>
  <si>
    <t>Paper - Philtimes</t>
  </si>
  <si>
    <t>(220) Philipine Times</t>
  </si>
  <si>
    <t>SMS</t>
  </si>
  <si>
    <t>Paper - Star &amp; Mail News Groups</t>
  </si>
  <si>
    <t>(220) Mt Evelyn Mail/ Ranges Trader Mail (FTG)</t>
  </si>
  <si>
    <t>Paper - Traralgon Express</t>
  </si>
  <si>
    <t>Paper - Viet Times</t>
  </si>
  <si>
    <t>Printing</t>
  </si>
  <si>
    <t>(205) Print &amp; Distribution</t>
  </si>
  <si>
    <t>Production</t>
  </si>
  <si>
    <t>(210) Design &amp; media production costs</t>
  </si>
  <si>
    <t>Promotional Items</t>
  </si>
  <si>
    <t>(205) Promotional items</t>
  </si>
  <si>
    <t>Radio - 101.1 Mix FM</t>
  </si>
  <si>
    <t>Radio - 3AW</t>
  </si>
  <si>
    <t>Radio - 3CW (Chinese)</t>
  </si>
  <si>
    <t>Radio - 3GG</t>
  </si>
  <si>
    <t>(220) Media (Gippsland)</t>
  </si>
  <si>
    <t>Radio - 3MP (ARN)</t>
  </si>
  <si>
    <t>Radio - ATN</t>
  </si>
  <si>
    <t>Radio - Fox FM</t>
  </si>
  <si>
    <t>Radio - Gold 104.3 (ARN)</t>
  </si>
  <si>
    <t>Radio - KIIS (ARN-Double T)</t>
  </si>
  <si>
    <t>Radio - Nova FM</t>
  </si>
  <si>
    <t>Radio - NZ</t>
  </si>
  <si>
    <t>(220) Media (MediaWorks)</t>
  </si>
  <si>
    <t>Radio - SEN</t>
  </si>
  <si>
    <t>Radio - Smoothfm 91.5</t>
  </si>
  <si>
    <t>Radio - Triple M</t>
  </si>
  <si>
    <t>Radio - TR fm &amp; Gold</t>
  </si>
  <si>
    <t>(220) Media (Gippsland TR FM 99.5 &amp; 99.9, Gold 1242 &amp; Gold FM 98.3)</t>
  </si>
  <si>
    <t>Radio - Stellantis</t>
  </si>
  <si>
    <t>Radio - Zagame</t>
  </si>
  <si>
    <t>Shopping Ctr Display</t>
  </si>
  <si>
    <t>(220) Media: QICP-Epping Shop Ctr</t>
  </si>
  <si>
    <t>Social Media</t>
  </si>
  <si>
    <t>(215) Marketing:  Facebook/Instagram Management Fees</t>
  </si>
  <si>
    <t>Spotify</t>
  </si>
  <si>
    <t>TV - ATN</t>
  </si>
  <si>
    <t>TV - MG</t>
  </si>
  <si>
    <t>TV - Nine</t>
  </si>
  <si>
    <t>TV - Seven</t>
  </si>
  <si>
    <t>TV - Southern Cross Austereo</t>
  </si>
  <si>
    <t>TV - Ten</t>
  </si>
  <si>
    <t>TV - Win Victoria</t>
  </si>
  <si>
    <t>Video Productions</t>
  </si>
  <si>
    <t>(217) Video Production &amp; editing</t>
  </si>
  <si>
    <t>Websites</t>
  </si>
  <si>
    <t>(230) Website Hosting/Management Fees, Landing Page &amp; Pop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</si>
</sst>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809]#,##0.00;\-[$$-809]#,##0.00"/>
    <numFmt numFmtId="165" formatCode="&quot;$&quot;#,##0"/>
    <numFmt numFmtId="167" formatCode="_-&quot;$&quot;* #,##0.00_-;\-&quot;$&quot;* #,##0.00_-;_-&quot;$&quot;* &quot;-&quot;??_-;_-@_-"/>
  </numFmts>
  <fonts count="2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4"/>
      <color theme="1"/>
      <name val="Arial"/>
      <family val="2"/>
    </font>
    <font>
      <sz val="14"/>
      <color rgb="FF002060"/>
      <name val="Arial"/>
      <family val="2"/>
    </font>
    <font>
      <sz val="14"/>
      <color rgb="FF002060"/>
      <name val="Aptos Narrow"/>
      <family val="2"/>
      <scheme val="minor"/>
    </font>
    <font>
      <b/>
      <u/>
      <sz val="14"/>
      <color rgb="FF002060"/>
      <name val="Arial"/>
      <family val="2"/>
    </font>
    <font>
      <b/>
      <sz val="14"/>
      <color rgb="FF002060"/>
      <name val="Arial"/>
      <family val="2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3"/>
      <color rgb="FF002060"/>
      <name val="Arial"/>
      <family val="2"/>
    </font>
    <font>
      <sz val="13"/>
      <color rgb="FF002060"/>
      <name val="Aptos Narrow"/>
      <family val="2"/>
      <scheme val="minor"/>
    </font>
    <font>
      <sz val="13"/>
      <color theme="1"/>
      <name val="Arial"/>
      <family val="2"/>
    </font>
    <font>
      <sz val="13"/>
      <color theme="1"/>
      <name val="Aptos Narrow"/>
      <family val="2"/>
      <scheme val="minor"/>
    </font>
    <font>
      <sz val="13"/>
      <color rgb="FF0070C0"/>
      <name val="Arial"/>
      <family val="2"/>
    </font>
    <font>
      <sz val="14"/>
      <name val="Arial"/>
      <family val="2"/>
    </font>
    <font>
      <sz val="11"/>
      <color rgb="FF002060"/>
      <name val="Arial"/>
      <family val="2"/>
    </font>
    <font>
      <sz val="14"/>
      <color rgb="FF000000"/>
      <name val="Arial"/>
      <family val="2"/>
    </font>
    <font>
      <sz val="14"/>
      <color theme="1"/>
      <name val="Helvetica"/>
      <family val="2"/>
    </font>
    <font>
      <sz val="13"/>
      <color rgb="FF0070C0"/>
      <name val="Aptos Narrow"/>
      <family val="2"/>
      <scheme val="minor"/>
    </font>
    <font>
      <sz val="12"/>
      <color rgb="FFFF0080"/>
      <name val="Arial"/>
      <family val="2"/>
    </font>
    <font>
      <i/>
      <sz val="14"/>
      <color rgb="FF002060"/>
      <name val="Arial"/>
      <family val="2"/>
    </font>
    <font>
      <sz val="14"/>
      <color theme="1"/>
      <name val="Tahoma"/>
      <family val="2"/>
    </font>
    <font>
      <sz val="13"/>
      <color rgb="FFFF0000"/>
      <name val="Aptos Narrow"/>
      <family val="2"/>
      <scheme val="minor"/>
    </font>
    <font>
      <b/>
      <u/>
      <sz val="12"/>
      <color rgb="FFFF0080"/>
      <name val="Arial"/>
      <family val="2"/>
    </font>
    <font>
      <sz val="14"/>
      <color rgb="FF000000"/>
      <name val="Tahoma"/>
      <family val="2"/>
    </font>
    <font>
      <sz val="13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164" fontId="8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left" vertical="center" wrapText="1" shrinkToFit="1"/>
    </xf>
    <xf numFmtId="0" fontId="8" fillId="3" borderId="0" xfId="0" applyFont="1" applyFill="1" applyAlignment="1">
      <alignment vertical="center" wrapText="1"/>
    </xf>
    <xf numFmtId="0" fontId="17" fillId="0" borderId="0" xfId="0" applyFont="1" applyAlignment="1">
      <alignment vertical="center"/>
    </xf>
    <xf numFmtId="0" fontId="4" fillId="0" borderId="0" xfId="0" applyFont="1" applyAlignment="1">
      <alignment horizontal="left" vertical="center" shrinkToFit="1"/>
    </xf>
    <xf numFmtId="0" fontId="18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20" fillId="0" borderId="0" xfId="0" applyFont="1" applyAlignment="1">
      <alignment vertical="center" wrapText="1"/>
    </xf>
    <xf numFmtId="0" fontId="13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7" fontId="24" fillId="0" borderId="0" xfId="1" applyFont="1" applyBorder="1" applyAlignment="1" applyProtection="1">
      <alignment horizontal="righ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8" fillId="4" borderId="0" xfId="0" applyFont="1" applyFill="1"/>
    <xf numFmtId="0" fontId="10" fillId="4" borderId="0" xfId="0" applyFont="1" applyFill="1" applyAlignment="1">
      <alignment vertical="center"/>
    </xf>
    <xf numFmtId="0" fontId="11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4" fillId="0" borderId="0" xfId="0" applyFont="1" applyAlignment="1">
      <alignment vertical="center" wrapText="1"/>
    </xf>
  </cellXfs>
  <cellStyles count="3">
    <cellStyle name="40% - Accent1 3" xfId="2" xr:uid="{F08DFC8B-3C23-F24B-A4D4-63D968236F62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lliewhite/Downloads/OCTOBER%202024%20Invoicing-copy%20for%20Rob.xlsx" TargetMode="External"/><Relationship Id="rId1" Type="http://schemas.openxmlformats.org/officeDocument/2006/relationships/externalLinkPath" Target="OCTOBER%202024%20Invoicing-copy%20for%20R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PTIONS"/>
      <sheetName val="AMMG-HKLR"/>
      <sheetName val="AM-FootMISC"/>
      <sheetName val="AM-MelBacLS"/>
      <sheetName val="AM-MelMN"/>
      <sheetName val="ArcticCampers"/>
      <sheetName val="BCAG"/>
      <sheetName val="BCAG-FGMSV"/>
      <sheetName val="BCAG-FIsuzu"/>
      <sheetName val="BCAG-FKia"/>
      <sheetName val="BCAG-FMah"/>
      <sheetName val="BCAG-FMits"/>
      <sheetName val="BCAG-FN"/>
      <sheetName val="BCAG-FRen"/>
      <sheetName val="BCAG-FrSY"/>
      <sheetName val="BCAG-FrSuz"/>
      <sheetName val="BCAG-MNiss"/>
      <sheetName val="BAG"/>
      <sheetName val="Bri Mit"/>
      <sheetName val="Bri MG"/>
      <sheetName val="BAH"/>
      <sheetName val="BAH-AstGWM"/>
      <sheetName val="BAH-MentGWM"/>
      <sheetName val="BAH-MentLDV"/>
      <sheetName val="BAH-Niss"/>
      <sheetName val="BAH-Ren"/>
      <sheetName val="BAH-Suz"/>
      <sheetName val="BloodAG"/>
      <sheetName val="BloodHyundai"/>
      <sheetName val="GeelChery"/>
      <sheetName val="GeelKIA"/>
      <sheetName val="GeelMazda"/>
      <sheetName val="NAC-OEM"/>
      <sheetName val="CityMazda"/>
      <sheetName val="Eagers"/>
      <sheetName val="CP Ford"/>
      <sheetName val="CP SVC"/>
      <sheetName val="NE4x4"/>
      <sheetName val="ChadKIA"/>
      <sheetName val="ChadMits"/>
      <sheetName val="GWS Suz"/>
      <sheetName val="GWS Kia"/>
      <sheetName val="GWS Honda"/>
      <sheetName val="GWSPenHonda"/>
      <sheetName val="FTGAuto"/>
      <sheetName val="FTGChery"/>
      <sheetName val="FTGHo&amp;GMSV"/>
      <sheetName val="FTGIsuzu"/>
      <sheetName val="FTGLDV "/>
      <sheetName val="FTGJac"/>
      <sheetName val="FTGSS"/>
      <sheetName val="FTGSuz"/>
      <sheetName val="FTGVW"/>
      <sheetName val="FNQMtrs"/>
      <sheetName val="FNQ-InnMaz"/>
      <sheetName val="FNQ-InnNiss"/>
      <sheetName val="FNQ-ICFord"/>
      <sheetName val="FNQ-ICMits"/>
      <sheetName val="GTM"/>
      <sheetName val="GIFM"/>
      <sheetName val="BalBMW"/>
      <sheetName val="BalHGMSV-Hold"/>
      <sheetName val="BalMaz-GRP"/>
      <sheetName val="GMGrp"/>
      <sheetName val="BalIsuzu"/>
      <sheetName val="BalLR"/>
      <sheetName val="BalSk"/>
      <sheetName val="BalSub"/>
      <sheetName val="GIsuzu"/>
      <sheetName val="GLR"/>
      <sheetName val="GMG"/>
      <sheetName val="GSuz"/>
      <sheetName val="LeonHold"/>
      <sheetName val="LeonIsuzu"/>
      <sheetName val="LeonSub"/>
      <sheetName val="PakIsuzu"/>
      <sheetName val="TrGMSV&amp;Hold"/>
      <sheetName val="TrMazda"/>
      <sheetName val="TrMits"/>
      <sheetName val="TrSub"/>
      <sheetName val="TrVW"/>
      <sheetName val="KnoxGWM"/>
      <sheetName val="KDH&amp;HSV"/>
      <sheetName val="KDSk"/>
      <sheetName val="KDVW"/>
      <sheetName val="NN"/>
      <sheetName val="NK"/>
      <sheetName val="NCJD"/>
      <sheetName val="NI"/>
      <sheetName val="NJac"/>
      <sheetName val="NMG"/>
      <sheetName val="NRAM"/>
      <sheetName val="NSY"/>
      <sheetName val="NU-NMGrp"/>
      <sheetName val="Mansfield"/>
      <sheetName val="MMazda"/>
      <sheetName val="MIUte"/>
      <sheetName val="MMits"/>
      <sheetName val="PDG-Ford"/>
      <sheetName val="PDG-MJac"/>
      <sheetName val="PDG-MKia"/>
      <sheetName val="PMReg"/>
      <sheetName val="SMG"/>
      <sheetName val="SMG-Ford"/>
      <sheetName val="SMG-HY"/>
      <sheetName val="SMG-Nissan"/>
      <sheetName val="SwoodMazda"/>
      <sheetName val="SnowyRRV"/>
      <sheetName val="TBG"/>
      <sheetName val="TrAutoGrp"/>
      <sheetName val="VicMtr"/>
      <sheetName val="VicRV"/>
      <sheetName val="VMG"/>
      <sheetName val="V4x4"/>
      <sheetName val="VFord"/>
      <sheetName val="VGWM"/>
      <sheetName val="VKia"/>
      <sheetName val="VPol"/>
      <sheetName val="WavMits-MG"/>
      <sheetName val="WavNiss-Ren"/>
      <sheetName val="WavSk-Volvo"/>
      <sheetName val="WavVW"/>
      <sheetName val="PDSuz"/>
      <sheetName val="WerToy"/>
      <sheetName val="Zupps Aspley"/>
      <sheetName val="Alfagomma"/>
      <sheetName val="DrToit"/>
      <sheetName val="NCB"/>
      <sheetName val="TEMPLATE"/>
      <sheetName val="TEMPLATE (2)"/>
      <sheetName val="Dropdown Menu + INV #'s"/>
      <sheetName val="TOTALS"/>
      <sheetName val="Batch1-Mar24"/>
      <sheetName val="Batch2-Mar24"/>
      <sheetName val="Batch3-Mar24"/>
      <sheetName val="Batch4-Mar24"/>
      <sheetName val="KIAAust-NIL"/>
      <sheetName val="Stellantis-NIL"/>
      <sheetName val="MG Aust-NIL"/>
      <sheetName val="Zagame-NIL"/>
      <sheetName val="Westpoint-NIL"/>
      <sheetName val="DanceSport-NIL"/>
      <sheetName val="GRP website for EOM"/>
      <sheetName val="Open Pay"/>
      <sheetName val="24HrAss-NIL-11"/>
      <sheetName val="3PtMtrs-NIL"/>
      <sheetName val="BerMGrp-NIL"/>
      <sheetName val="BerGWM-NIL"/>
      <sheetName val="BerJeep-NIL"/>
      <sheetName val="BerKIA-NIL"/>
      <sheetName val="BerNiss-NIL"/>
      <sheetName val="BerSSy-NIL"/>
      <sheetName val="Bri HY-NIL"/>
      <sheetName val="Bri Ss-NIL"/>
      <sheetName val="BMG-nil"/>
      <sheetName val="BAH-INEOS-NIL"/>
      <sheetName val="BBBer-NIL"/>
      <sheetName val="BBWar NIL"/>
      <sheetName val="Bri Hol NIL"/>
      <sheetName val="BriSvc NIL"/>
      <sheetName val="BSEFr-NIL"/>
      <sheetName val="CaravanHC-NIL"/>
      <sheetName val="MelCityHy-NIL"/>
      <sheetName val="CoffeyFord-EVDealer-NIL"/>
      <sheetName val="FF-NIL-11"/>
      <sheetName val="CaseyLDV-NIL-11"/>
      <sheetName val="CDMG-NIL"/>
      <sheetName val="GetYouFin-NIL"/>
      <sheetName val="FTGAS-KIA-NIL"/>
      <sheetName val="FTGAS-Hy-NIL"/>
      <sheetName val="KnoxMit-NIL"/>
      <sheetName val="TTH-NIL"/>
      <sheetName val="ECM-NIL"/>
      <sheetName val="NACM-NIL"/>
      <sheetName val="PolarisH-NIL"/>
      <sheetName val="UCM-NIL"/>
      <sheetName val="Pen Haval-NIL-11"/>
      <sheetName val="FrRAM-NIL-11"/>
      <sheetName val="GG NIL"/>
      <sheetName val="GaukGrp-NIL"/>
      <sheetName val="GTB-NIL"/>
      <sheetName val="GWS Hol -NIL"/>
      <sheetName val="GWS-WAV Maz-NIL"/>
      <sheetName val="LCJD-NIL"/>
      <sheetName val="MG Reg - NIL"/>
      <sheetName val="NMGCC-NIL"/>
      <sheetName val="BalAudi-NIL"/>
      <sheetName val="GVW-NIL"/>
      <sheetName val="MBenzG-NIL"/>
      <sheetName val="MH-NIL"/>
      <sheetName val="Mhy-NIL"/>
      <sheetName val="MMG-NIL"/>
      <sheetName val="Pkittle-NIL-11"/>
      <sheetName val="Redlands-NIL"/>
      <sheetName val="RWMazda-NIL"/>
      <sheetName val="SaleLDV-NIL-11"/>
      <sheetName val="SMMG-GGL-NIL"/>
      <sheetName val="SMMG-MRU-NIL"/>
      <sheetName val="TMG NIL-11"/>
      <sheetName val="VBMW-NIL"/>
      <sheetName val="VCJD-NIL"/>
      <sheetName val="WavHold-Used-NIL"/>
      <sheetName val="WMGUsed-NIL"/>
      <sheetName val="WMG BrVW-NIL"/>
      <sheetName val="WPH-NIL"/>
      <sheetName val="WPHy-NIL"/>
      <sheetName val="WPMG-NIL"/>
    </sheetNames>
    <sheetDataSet>
      <sheetData sheetId="0"/>
      <sheetData sheetId="1"/>
      <sheetData sheetId="2">
        <row r="1">
          <cell r="A1" t="str">
            <v>Alan Mance Mitsubishi Footscray, Isuzu, Suzuki, Chery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4">
          <cell r="AR4">
            <v>18368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725C-2064-854D-BEB2-4F2A1B315F1F}">
  <sheetPr>
    <tabColor rgb="FF3366FF"/>
  </sheetPr>
  <dimension ref="A1:L71"/>
  <sheetViews>
    <sheetView tabSelected="1" zoomScale="70" zoomScaleNormal="70" workbookViewId="0">
      <selection activeCell="E16" sqref="E16"/>
    </sheetView>
  </sheetViews>
  <sheetFormatPr baseColWidth="10" defaultColWidth="11.33203125" defaultRowHeight="19" x14ac:dyDescent="0.25"/>
  <cols>
    <col min="1" max="1" width="37.1640625" style="7" customWidth="1"/>
    <col min="2" max="2" width="98" style="9" customWidth="1"/>
    <col min="3" max="3" width="6" style="10" customWidth="1"/>
    <col min="4" max="4" width="22.83203125" style="5" customWidth="1"/>
    <col min="5" max="5" width="23.6640625" style="5" customWidth="1"/>
    <col min="6" max="6" width="26.83203125" style="5" customWidth="1"/>
    <col min="7" max="7" width="69.83203125" style="5" bestFit="1" customWidth="1"/>
    <col min="8" max="8" width="71.5" style="5" customWidth="1"/>
    <col min="9" max="9" width="9.5" style="13" customWidth="1"/>
    <col min="10" max="11" width="11.33203125" style="13"/>
    <col min="12" max="16384" width="11.33203125" style="14"/>
  </cols>
  <sheetData>
    <row r="1" spans="1:11" s="8" customFormat="1" ht="47" customHeight="1" x14ac:dyDescent="0.25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6" t="s">
        <v>3</v>
      </c>
      <c r="I1" s="7"/>
      <c r="J1" s="7"/>
      <c r="K1" s="7"/>
    </row>
    <row r="2" spans="1:11" ht="28" customHeight="1" x14ac:dyDescent="0.25">
      <c r="D2" s="11">
        <v>18235</v>
      </c>
      <c r="E2" s="2" t="s">
        <v>4</v>
      </c>
      <c r="F2" s="2" t="str">
        <f>'[1]AM-FootMISC'!A1</f>
        <v>Alan Mance Mitsubishi Footscray, Isuzu, Suzuki, Chery</v>
      </c>
      <c r="G2" s="2" t="s">
        <v>5</v>
      </c>
      <c r="H2" s="12" t="s">
        <v>6</v>
      </c>
      <c r="J2" s="13" t="s">
        <v>7</v>
      </c>
    </row>
    <row r="3" spans="1:11" s="21" customFormat="1" ht="28" customHeight="1" x14ac:dyDescent="0.2">
      <c r="A3" s="15" t="s">
        <v>8</v>
      </c>
      <c r="B3" s="16" t="s">
        <v>9</v>
      </c>
      <c r="C3" s="17"/>
      <c r="D3" s="18">
        <f>[1]NCB!AR4</f>
        <v>18368</v>
      </c>
      <c r="E3" s="2" t="s">
        <v>10</v>
      </c>
      <c r="F3" s="19" t="s">
        <v>11</v>
      </c>
      <c r="G3" s="2"/>
      <c r="H3" s="12" t="s">
        <v>12</v>
      </c>
      <c r="I3" s="20"/>
      <c r="J3" s="20" t="s">
        <v>13</v>
      </c>
      <c r="K3" s="20"/>
    </row>
    <row r="4" spans="1:11" s="21" customFormat="1" ht="28" customHeight="1" x14ac:dyDescent="0.2">
      <c r="A4" s="22" t="s">
        <v>14</v>
      </c>
      <c r="B4" s="16" t="s">
        <v>15</v>
      </c>
      <c r="C4" s="17"/>
      <c r="D4" s="23"/>
      <c r="E4" s="23"/>
      <c r="F4" s="23"/>
      <c r="G4" s="2"/>
      <c r="H4" s="12" t="s">
        <v>16</v>
      </c>
      <c r="I4" s="20"/>
      <c r="J4" s="20" t="s">
        <v>13</v>
      </c>
      <c r="K4" s="20"/>
    </row>
    <row r="5" spans="1:11" s="21" customFormat="1" ht="28" customHeight="1" x14ac:dyDescent="0.2">
      <c r="A5" s="24" t="s">
        <v>17</v>
      </c>
      <c r="B5" s="16" t="s">
        <v>18</v>
      </c>
      <c r="C5" s="17"/>
      <c r="D5" s="25"/>
      <c r="E5" s="26"/>
      <c r="F5" s="27"/>
      <c r="G5" s="2"/>
      <c r="H5" s="28" t="s">
        <v>19</v>
      </c>
      <c r="I5" s="20"/>
      <c r="J5" s="20" t="s">
        <v>13</v>
      </c>
      <c r="K5" s="20"/>
    </row>
    <row r="6" spans="1:11" s="21" customFormat="1" ht="28" customHeight="1" x14ac:dyDescent="0.2">
      <c r="A6" s="29" t="s">
        <v>20</v>
      </c>
      <c r="B6" s="16" t="s">
        <v>21</v>
      </c>
      <c r="C6" s="17"/>
      <c r="D6" s="25"/>
      <c r="E6" s="26"/>
      <c r="F6" s="30"/>
      <c r="H6" s="31" t="s">
        <v>22</v>
      </c>
      <c r="I6" s="20"/>
      <c r="J6" s="20" t="s">
        <v>23</v>
      </c>
      <c r="K6" s="20"/>
    </row>
    <row r="7" spans="1:11" s="21" customFormat="1" ht="28" customHeight="1" x14ac:dyDescent="0.2">
      <c r="A7" s="29" t="s">
        <v>24</v>
      </c>
      <c r="B7" s="16" t="s">
        <v>25</v>
      </c>
      <c r="C7" s="17"/>
      <c r="D7" s="25"/>
      <c r="H7" s="31" t="s">
        <v>26</v>
      </c>
      <c r="I7" s="20"/>
      <c r="J7" s="20"/>
      <c r="K7" s="20"/>
    </row>
    <row r="8" spans="1:11" s="21" customFormat="1" ht="28" customHeight="1" x14ac:dyDescent="0.2">
      <c r="A8" s="29" t="s">
        <v>27</v>
      </c>
      <c r="B8" s="16" t="s">
        <v>28</v>
      </c>
      <c r="C8" s="17"/>
      <c r="D8" s="25"/>
      <c r="G8" s="2" t="s">
        <v>29</v>
      </c>
      <c r="H8" s="12" t="s">
        <v>30</v>
      </c>
      <c r="I8" s="20"/>
      <c r="J8" s="20"/>
      <c r="K8" s="20"/>
    </row>
    <row r="9" spans="1:11" s="21" customFormat="1" ht="28" customHeight="1" x14ac:dyDescent="0.2">
      <c r="A9" s="29" t="s">
        <v>31</v>
      </c>
      <c r="B9" s="16" t="s">
        <v>32</v>
      </c>
      <c r="C9" s="17"/>
      <c r="D9" s="25"/>
      <c r="E9" s="26"/>
      <c r="F9" s="30"/>
      <c r="H9" s="28" t="s">
        <v>33</v>
      </c>
      <c r="I9" s="20"/>
      <c r="J9" s="20"/>
      <c r="K9" s="20"/>
    </row>
    <row r="10" spans="1:11" s="21" customFormat="1" ht="28" customHeight="1" x14ac:dyDescent="0.2">
      <c r="A10" s="29" t="s">
        <v>34</v>
      </c>
      <c r="B10" s="16" t="s">
        <v>35</v>
      </c>
      <c r="C10" s="17"/>
      <c r="D10" s="25"/>
      <c r="H10" s="12" t="s">
        <v>36</v>
      </c>
      <c r="I10" s="20"/>
      <c r="J10" s="20" t="s">
        <v>37</v>
      </c>
      <c r="K10" s="20"/>
    </row>
    <row r="11" spans="1:11" s="21" customFormat="1" ht="28" customHeight="1" x14ac:dyDescent="0.2">
      <c r="A11" s="22" t="s">
        <v>38</v>
      </c>
      <c r="B11" s="16" t="s">
        <v>39</v>
      </c>
      <c r="C11" s="17"/>
      <c r="D11" s="25"/>
      <c r="G11" s="2"/>
      <c r="H11" s="12" t="s">
        <v>40</v>
      </c>
      <c r="I11" s="20"/>
      <c r="J11" s="20"/>
      <c r="K11" s="20"/>
    </row>
    <row r="12" spans="1:11" s="21" customFormat="1" ht="28" customHeight="1" x14ac:dyDescent="0.2">
      <c r="A12" s="22" t="s">
        <v>41</v>
      </c>
      <c r="B12" s="16" t="s">
        <v>42</v>
      </c>
      <c r="C12" s="17"/>
      <c r="D12" s="25"/>
      <c r="G12" s="32"/>
      <c r="H12" s="12" t="s">
        <v>43</v>
      </c>
      <c r="I12" s="20"/>
      <c r="J12" s="20"/>
      <c r="K12" s="20"/>
    </row>
    <row r="13" spans="1:11" s="21" customFormat="1" ht="28" customHeight="1" x14ac:dyDescent="0.2">
      <c r="A13" s="22" t="s">
        <v>44</v>
      </c>
      <c r="B13" s="16" t="s">
        <v>45</v>
      </c>
      <c r="C13" s="17"/>
      <c r="D13" s="25"/>
      <c r="G13" s="32"/>
      <c r="H13" s="12" t="s">
        <v>46</v>
      </c>
      <c r="I13" s="20"/>
      <c r="K13" s="20"/>
    </row>
    <row r="14" spans="1:11" s="21" customFormat="1" ht="28" customHeight="1" x14ac:dyDescent="0.2">
      <c r="A14" s="22" t="s">
        <v>47</v>
      </c>
      <c r="B14" s="16" t="s">
        <v>48</v>
      </c>
      <c r="C14" s="17"/>
      <c r="D14" s="25"/>
      <c r="H14" s="12" t="s">
        <v>49</v>
      </c>
      <c r="J14" s="20" t="s">
        <v>50</v>
      </c>
      <c r="K14" s="20"/>
    </row>
    <row r="15" spans="1:11" s="21" customFormat="1" ht="28" customHeight="1" x14ac:dyDescent="0.2">
      <c r="A15" s="22" t="s">
        <v>51</v>
      </c>
      <c r="B15" s="16" t="s">
        <v>42</v>
      </c>
      <c r="C15" s="17"/>
      <c r="D15" s="25"/>
      <c r="H15" s="12" t="s">
        <v>52</v>
      </c>
      <c r="I15" s="20"/>
      <c r="J15" s="20" t="s">
        <v>53</v>
      </c>
      <c r="K15" s="20"/>
    </row>
    <row r="16" spans="1:11" s="21" customFormat="1" ht="28" customHeight="1" x14ac:dyDescent="0.2">
      <c r="A16" s="22" t="s">
        <v>54</v>
      </c>
      <c r="B16" s="16" t="s">
        <v>55</v>
      </c>
      <c r="C16" s="17"/>
      <c r="D16" s="25"/>
      <c r="E16" s="26"/>
      <c r="F16" s="30"/>
      <c r="G16" s="32"/>
      <c r="H16" s="12" t="s">
        <v>56</v>
      </c>
      <c r="I16" s="20"/>
      <c r="J16" s="20" t="s">
        <v>57</v>
      </c>
      <c r="K16" s="20"/>
    </row>
    <row r="17" spans="1:11" s="21" customFormat="1" ht="28" customHeight="1" x14ac:dyDescent="0.2">
      <c r="A17" s="22" t="s">
        <v>58</v>
      </c>
      <c r="B17" s="16" t="s">
        <v>59</v>
      </c>
      <c r="C17" s="17"/>
      <c r="D17" s="25"/>
      <c r="E17" s="26"/>
      <c r="F17" s="30"/>
      <c r="G17" s="32"/>
      <c r="H17" s="28" t="s">
        <v>60</v>
      </c>
      <c r="I17" s="20"/>
      <c r="J17" s="20" t="s">
        <v>13</v>
      </c>
      <c r="K17" s="20"/>
    </row>
    <row r="18" spans="1:11" s="21" customFormat="1" ht="28" customHeight="1" x14ac:dyDescent="0.2">
      <c r="A18" s="22" t="s">
        <v>61</v>
      </c>
      <c r="B18" s="16" t="s">
        <v>42</v>
      </c>
      <c r="C18" s="17"/>
      <c r="D18" s="25"/>
      <c r="E18" s="26"/>
      <c r="F18" s="30"/>
      <c r="G18" s="32"/>
      <c r="H18" s="28" t="s">
        <v>62</v>
      </c>
      <c r="I18" s="20"/>
      <c r="J18" s="20" t="s">
        <v>63</v>
      </c>
      <c r="K18" s="20"/>
    </row>
    <row r="19" spans="1:11" s="21" customFormat="1" ht="28" customHeight="1" x14ac:dyDescent="0.2">
      <c r="A19" s="22" t="s">
        <v>64</v>
      </c>
      <c r="B19" s="16" t="s">
        <v>59</v>
      </c>
      <c r="C19" s="17"/>
      <c r="D19" s="25"/>
      <c r="E19" s="26"/>
      <c r="F19" s="30"/>
      <c r="G19" s="32"/>
      <c r="H19" s="12" t="s">
        <v>65</v>
      </c>
      <c r="I19" s="20"/>
      <c r="J19" s="20" t="s">
        <v>66</v>
      </c>
      <c r="K19" s="20"/>
    </row>
    <row r="20" spans="1:11" s="21" customFormat="1" ht="28" customHeight="1" x14ac:dyDescent="0.2">
      <c r="A20" s="29" t="s">
        <v>67</v>
      </c>
      <c r="B20" s="16" t="s">
        <v>59</v>
      </c>
      <c r="C20" s="17"/>
      <c r="D20" s="25"/>
      <c r="E20" s="26"/>
      <c r="F20" s="30"/>
      <c r="G20" s="32"/>
      <c r="H20" s="2"/>
      <c r="I20" s="20"/>
      <c r="J20" s="20"/>
      <c r="K20" s="20"/>
    </row>
    <row r="21" spans="1:11" s="21" customFormat="1" ht="28" customHeight="1" x14ac:dyDescent="0.2">
      <c r="A21" s="22" t="s">
        <v>68</v>
      </c>
      <c r="B21" s="16" t="s">
        <v>59</v>
      </c>
      <c r="C21" s="17"/>
      <c r="D21" s="25"/>
      <c r="E21" s="26"/>
      <c r="F21" s="30"/>
      <c r="I21" s="20"/>
      <c r="J21" s="20"/>
      <c r="K21" s="20"/>
    </row>
    <row r="22" spans="1:11" s="21" customFormat="1" ht="28" customHeight="1" x14ac:dyDescent="0.2">
      <c r="A22" s="22" t="s">
        <v>69</v>
      </c>
      <c r="B22" s="16" t="s">
        <v>59</v>
      </c>
      <c r="C22" s="17"/>
      <c r="D22" s="25"/>
      <c r="E22" s="26"/>
      <c r="F22" s="30"/>
      <c r="I22" s="20"/>
      <c r="J22" s="20"/>
      <c r="K22" s="20"/>
    </row>
    <row r="23" spans="1:11" s="21" customFormat="1" ht="28" customHeight="1" x14ac:dyDescent="0.2">
      <c r="A23" s="29" t="s">
        <v>70</v>
      </c>
      <c r="B23" s="16" t="s">
        <v>59</v>
      </c>
      <c r="C23" s="17"/>
      <c r="D23" s="25"/>
      <c r="E23" s="26"/>
      <c r="F23" s="30"/>
      <c r="I23" s="20"/>
      <c r="J23" s="20"/>
      <c r="K23" s="20"/>
    </row>
    <row r="24" spans="1:11" s="21" customFormat="1" ht="28" customHeight="1" x14ac:dyDescent="0.2">
      <c r="A24" s="2" t="s">
        <v>71</v>
      </c>
      <c r="B24" s="16" t="s">
        <v>59</v>
      </c>
      <c r="C24" s="17"/>
      <c r="D24" s="25"/>
      <c r="E24" s="26"/>
      <c r="F24" s="30"/>
      <c r="I24" s="20"/>
      <c r="J24" s="20"/>
      <c r="K24" s="20"/>
    </row>
    <row r="25" spans="1:11" s="21" customFormat="1" ht="28" customHeight="1" x14ac:dyDescent="0.2">
      <c r="A25" s="22" t="s">
        <v>72</v>
      </c>
      <c r="B25" s="16" t="s">
        <v>73</v>
      </c>
      <c r="C25" s="17"/>
      <c r="D25" s="25"/>
      <c r="E25" s="26"/>
      <c r="F25" s="30"/>
      <c r="I25" s="20"/>
      <c r="J25" s="20"/>
      <c r="K25" s="20"/>
    </row>
    <row r="26" spans="1:11" s="21" customFormat="1" ht="28" customHeight="1" x14ac:dyDescent="0.2">
      <c r="A26" s="22" t="s">
        <v>74</v>
      </c>
      <c r="B26" s="16" t="s">
        <v>75</v>
      </c>
      <c r="C26" s="17"/>
      <c r="D26" s="25"/>
      <c r="E26" s="32"/>
      <c r="F26" s="30"/>
      <c r="I26" s="20"/>
      <c r="J26" s="20"/>
      <c r="K26" s="20"/>
    </row>
    <row r="27" spans="1:11" s="21" customFormat="1" ht="28" customHeight="1" x14ac:dyDescent="0.2">
      <c r="A27" s="22" t="s">
        <v>76</v>
      </c>
      <c r="B27" s="16" t="s">
        <v>77</v>
      </c>
      <c r="C27" s="17"/>
      <c r="D27" s="25"/>
      <c r="E27" s="2"/>
      <c r="F27" s="30"/>
      <c r="I27" s="20"/>
      <c r="J27" s="20"/>
      <c r="K27" s="20"/>
    </row>
    <row r="28" spans="1:11" s="21" customFormat="1" ht="28" customHeight="1" x14ac:dyDescent="0.2">
      <c r="A28" s="15" t="s">
        <v>78</v>
      </c>
      <c r="B28" s="33" t="s">
        <v>79</v>
      </c>
      <c r="C28" s="17"/>
      <c r="D28" s="2"/>
      <c r="E28" s="2"/>
      <c r="F28" s="30"/>
      <c r="I28" s="20"/>
      <c r="J28" s="20"/>
      <c r="K28" s="20"/>
    </row>
    <row r="29" spans="1:11" s="21" customFormat="1" ht="28" customHeight="1" x14ac:dyDescent="0.2">
      <c r="A29" s="22" t="s">
        <v>80</v>
      </c>
      <c r="B29" s="34" t="s">
        <v>81</v>
      </c>
      <c r="C29" s="17"/>
      <c r="D29" s="2"/>
      <c r="E29" s="2"/>
      <c r="F29" s="30"/>
      <c r="I29" s="20"/>
      <c r="J29" s="20"/>
      <c r="K29" s="20"/>
    </row>
    <row r="30" spans="1:11" s="21" customFormat="1" ht="28" customHeight="1" x14ac:dyDescent="0.2">
      <c r="A30" s="22" t="s">
        <v>82</v>
      </c>
      <c r="B30" s="16" t="s">
        <v>83</v>
      </c>
      <c r="C30" s="17"/>
      <c r="D30" s="2"/>
      <c r="E30" s="2"/>
      <c r="F30" s="30"/>
      <c r="I30" s="20"/>
      <c r="J30" s="20"/>
      <c r="K30" s="20"/>
    </row>
    <row r="31" spans="1:11" s="21" customFormat="1" ht="28" customHeight="1" x14ac:dyDescent="0.2">
      <c r="A31" s="22" t="s">
        <v>84</v>
      </c>
      <c r="B31" s="16" t="s">
        <v>85</v>
      </c>
      <c r="C31" s="17"/>
      <c r="D31" s="2"/>
      <c r="E31" s="2"/>
      <c r="F31" s="30"/>
      <c r="I31" s="20"/>
      <c r="J31" s="20"/>
      <c r="K31" s="20"/>
    </row>
    <row r="32" spans="1:11" s="21" customFormat="1" ht="28" customHeight="1" x14ac:dyDescent="0.2">
      <c r="A32" s="22" t="s">
        <v>87</v>
      </c>
      <c r="B32" s="16" t="s">
        <v>88</v>
      </c>
      <c r="C32" s="17"/>
      <c r="D32" s="2"/>
      <c r="E32" s="2"/>
      <c r="F32" s="30"/>
      <c r="I32" s="20"/>
      <c r="J32" s="20"/>
      <c r="K32" s="20"/>
    </row>
    <row r="33" spans="1:12" s="21" customFormat="1" ht="28" customHeight="1" x14ac:dyDescent="0.2">
      <c r="A33" s="22" t="s">
        <v>89</v>
      </c>
      <c r="B33" s="16" t="s">
        <v>59</v>
      </c>
      <c r="C33" s="17"/>
      <c r="D33" s="2"/>
      <c r="E33" s="2"/>
      <c r="F33" s="30"/>
      <c r="I33" s="20"/>
      <c r="J33" s="20"/>
      <c r="K33" s="20"/>
    </row>
    <row r="34" spans="1:12" s="21" customFormat="1" ht="28" customHeight="1" x14ac:dyDescent="0.2">
      <c r="A34" s="22" t="s">
        <v>90</v>
      </c>
      <c r="B34" s="16" t="s">
        <v>59</v>
      </c>
      <c r="C34" s="17"/>
      <c r="D34" s="2"/>
      <c r="E34" s="2"/>
      <c r="F34" s="30"/>
      <c r="I34" s="20"/>
      <c r="J34" s="20"/>
      <c r="K34" s="20"/>
    </row>
    <row r="35" spans="1:12" s="21" customFormat="1" ht="28" customHeight="1" x14ac:dyDescent="0.2">
      <c r="A35" s="15" t="s">
        <v>91</v>
      </c>
      <c r="B35" s="16" t="s">
        <v>92</v>
      </c>
      <c r="C35" s="17"/>
      <c r="D35" s="2"/>
      <c r="E35" s="2"/>
      <c r="F35" s="30"/>
      <c r="I35" s="20"/>
      <c r="J35" s="20"/>
      <c r="K35" s="20"/>
    </row>
    <row r="36" spans="1:12" s="21" customFormat="1" ht="28" customHeight="1" x14ac:dyDescent="0.2">
      <c r="A36" s="15" t="s">
        <v>93</v>
      </c>
      <c r="B36" s="16" t="s">
        <v>94</v>
      </c>
      <c r="C36" s="17"/>
      <c r="D36" s="2"/>
      <c r="E36" s="2"/>
      <c r="F36" s="30"/>
      <c r="I36" s="20"/>
    </row>
    <row r="37" spans="1:12" s="21" customFormat="1" ht="28" customHeight="1" x14ac:dyDescent="0.2">
      <c r="A37" s="22" t="s">
        <v>95</v>
      </c>
      <c r="B37" s="16" t="s">
        <v>96</v>
      </c>
      <c r="C37" s="17"/>
      <c r="D37" s="2"/>
      <c r="E37" s="2"/>
      <c r="F37" s="51"/>
      <c r="G37" s="35"/>
      <c r="H37" s="2"/>
      <c r="I37" s="20"/>
      <c r="J37" s="36"/>
      <c r="K37" s="36"/>
    </row>
    <row r="38" spans="1:12" s="21" customFormat="1" ht="28" customHeight="1" x14ac:dyDescent="0.2">
      <c r="A38" s="22" t="s">
        <v>97</v>
      </c>
      <c r="B38" s="16" t="s">
        <v>59</v>
      </c>
      <c r="C38" s="17"/>
      <c r="D38" s="2"/>
      <c r="E38" s="2"/>
      <c r="F38" s="51"/>
      <c r="G38" s="2"/>
      <c r="H38" s="2"/>
      <c r="I38" s="20"/>
    </row>
    <row r="39" spans="1:12" s="21" customFormat="1" ht="28" customHeight="1" x14ac:dyDescent="0.2">
      <c r="A39" s="22" t="s">
        <v>98</v>
      </c>
      <c r="B39" s="16" t="s">
        <v>59</v>
      </c>
      <c r="C39" s="17"/>
      <c r="D39" s="2"/>
      <c r="E39" s="2"/>
      <c r="H39" s="2"/>
      <c r="I39" s="20"/>
      <c r="J39" s="36"/>
    </row>
    <row r="40" spans="1:12" s="21" customFormat="1" ht="28" customHeight="1" x14ac:dyDescent="0.2">
      <c r="A40" s="15" t="s">
        <v>99</v>
      </c>
      <c r="B40" s="16" t="s">
        <v>59</v>
      </c>
      <c r="C40" s="17"/>
      <c r="D40" s="2"/>
      <c r="E40" s="2"/>
      <c r="F40" s="2"/>
      <c r="G40" s="2"/>
      <c r="H40" s="2"/>
      <c r="I40" s="20"/>
    </row>
    <row r="41" spans="1:12" s="21" customFormat="1" ht="28" customHeight="1" x14ac:dyDescent="0.2">
      <c r="A41" s="22" t="s">
        <v>100</v>
      </c>
      <c r="B41" s="16" t="s">
        <v>101</v>
      </c>
      <c r="C41" s="17"/>
      <c r="D41" s="2"/>
      <c r="E41" s="2"/>
      <c r="F41" s="37"/>
      <c r="G41" s="2"/>
      <c r="H41" s="2"/>
      <c r="I41" s="20"/>
    </row>
    <row r="42" spans="1:12" s="21" customFormat="1" ht="28" customHeight="1" x14ac:dyDescent="0.2">
      <c r="A42" s="22" t="s">
        <v>102</v>
      </c>
      <c r="B42" s="16" t="s">
        <v>59</v>
      </c>
      <c r="C42" s="17"/>
      <c r="D42" s="2"/>
      <c r="E42" s="2"/>
      <c r="F42" s="37"/>
      <c r="G42" s="2"/>
      <c r="H42" s="2"/>
      <c r="I42" s="20"/>
    </row>
    <row r="43" spans="1:12" s="21" customFormat="1" ht="28" customHeight="1" x14ac:dyDescent="0.2">
      <c r="A43" s="38" t="s">
        <v>103</v>
      </c>
      <c r="B43" s="16" t="s">
        <v>59</v>
      </c>
      <c r="C43" s="17"/>
      <c r="D43" s="2"/>
      <c r="E43" s="2"/>
      <c r="F43" s="2"/>
      <c r="H43" s="2"/>
      <c r="I43" s="20"/>
    </row>
    <row r="44" spans="1:12" s="39" customFormat="1" ht="28" customHeight="1" x14ac:dyDescent="0.2">
      <c r="A44" s="22" t="s">
        <v>104</v>
      </c>
      <c r="B44" s="16" t="s">
        <v>59</v>
      </c>
      <c r="C44" s="17"/>
      <c r="D44" s="2"/>
      <c r="E44" s="2"/>
      <c r="F44" s="2"/>
      <c r="G44" s="2"/>
      <c r="H44" s="2"/>
      <c r="I44" s="20"/>
      <c r="J44" s="21"/>
      <c r="K44" s="21"/>
      <c r="L44" s="40"/>
    </row>
    <row r="45" spans="1:12" s="39" customFormat="1" ht="28" customHeight="1" x14ac:dyDescent="0.2">
      <c r="A45" s="41" t="s">
        <v>105</v>
      </c>
      <c r="B45" s="16" t="s">
        <v>59</v>
      </c>
      <c r="C45" s="17"/>
      <c r="D45" s="2"/>
      <c r="E45" s="2"/>
      <c r="F45" s="37"/>
      <c r="G45" s="2"/>
      <c r="H45" s="2"/>
      <c r="I45" s="20"/>
      <c r="J45" s="21"/>
      <c r="K45" s="21"/>
    </row>
    <row r="46" spans="1:12" s="39" customFormat="1" ht="28" customHeight="1" x14ac:dyDescent="0.2">
      <c r="A46" s="41" t="s">
        <v>106</v>
      </c>
      <c r="B46" s="16" t="s">
        <v>59</v>
      </c>
      <c r="C46" s="17"/>
      <c r="D46" s="2"/>
      <c r="E46" s="2"/>
      <c r="F46" s="2"/>
      <c r="G46" s="2"/>
      <c r="H46" s="2"/>
      <c r="I46" s="20"/>
      <c r="J46" s="21"/>
      <c r="K46" s="21"/>
    </row>
    <row r="47" spans="1:12" s="39" customFormat="1" ht="28" customHeight="1" x14ac:dyDescent="0.2">
      <c r="A47" s="22" t="s">
        <v>107</v>
      </c>
      <c r="B47" s="16" t="s">
        <v>59</v>
      </c>
      <c r="C47" s="17"/>
      <c r="D47" s="2"/>
      <c r="E47" s="2"/>
      <c r="F47" s="2"/>
      <c r="G47" s="2"/>
      <c r="H47" s="2"/>
      <c r="I47" s="20"/>
      <c r="J47" s="21"/>
      <c r="K47" s="21"/>
    </row>
    <row r="48" spans="1:12" s="39" customFormat="1" ht="28" customHeight="1" x14ac:dyDescent="0.2">
      <c r="A48" s="22" t="s">
        <v>108</v>
      </c>
      <c r="B48" s="16" t="s">
        <v>109</v>
      </c>
      <c r="C48" s="17"/>
      <c r="D48" s="2"/>
      <c r="E48" s="2"/>
      <c r="F48" s="2"/>
      <c r="G48" s="2"/>
      <c r="H48" s="2"/>
      <c r="I48" s="20"/>
      <c r="J48" s="21"/>
      <c r="K48" s="21"/>
    </row>
    <row r="49" spans="1:11" s="39" customFormat="1" ht="28" customHeight="1" x14ac:dyDescent="0.2">
      <c r="A49" s="22" t="s">
        <v>110</v>
      </c>
      <c r="B49" s="16" t="s">
        <v>59</v>
      </c>
      <c r="C49" s="17"/>
      <c r="D49" s="2"/>
      <c r="E49" s="2"/>
      <c r="F49" s="2"/>
      <c r="G49" s="2"/>
      <c r="H49" s="2"/>
      <c r="I49" s="20"/>
      <c r="J49" s="21"/>
      <c r="K49" s="21"/>
    </row>
    <row r="50" spans="1:11" s="39" customFormat="1" ht="28" customHeight="1" x14ac:dyDescent="0.2">
      <c r="A50" s="15" t="s">
        <v>111</v>
      </c>
      <c r="B50" s="16" t="s">
        <v>59</v>
      </c>
      <c r="C50" s="17"/>
      <c r="D50" s="2"/>
      <c r="E50" s="2"/>
      <c r="F50" s="2"/>
      <c r="G50" s="2"/>
      <c r="H50" s="2"/>
      <c r="I50" s="20"/>
      <c r="J50" s="21"/>
      <c r="K50" s="21"/>
    </row>
    <row r="51" spans="1:11" s="39" customFormat="1" ht="28" customHeight="1" x14ac:dyDescent="0.2">
      <c r="A51" s="22" t="s">
        <v>112</v>
      </c>
      <c r="B51" s="16" t="s">
        <v>59</v>
      </c>
      <c r="C51" s="17"/>
      <c r="D51" s="2"/>
      <c r="E51" s="2"/>
      <c r="F51" s="2"/>
      <c r="G51" s="2"/>
      <c r="H51" s="2"/>
      <c r="I51" s="20"/>
      <c r="J51" s="21"/>
      <c r="K51" s="21"/>
    </row>
    <row r="52" spans="1:11" s="39" customFormat="1" ht="28" customHeight="1" x14ac:dyDescent="0.2">
      <c r="A52" s="22" t="s">
        <v>113</v>
      </c>
      <c r="B52" s="16" t="s">
        <v>114</v>
      </c>
      <c r="C52" s="17"/>
      <c r="D52" s="2"/>
      <c r="E52" s="2"/>
      <c r="F52" s="2"/>
      <c r="G52" s="2"/>
      <c r="H52" s="2"/>
      <c r="I52" s="20"/>
      <c r="J52" s="21"/>
      <c r="K52" s="21"/>
    </row>
    <row r="53" spans="1:11" s="39" customFormat="1" ht="28" customHeight="1" x14ac:dyDescent="0.2">
      <c r="A53" s="22" t="s">
        <v>115</v>
      </c>
      <c r="B53" s="16" t="s">
        <v>59</v>
      </c>
      <c r="C53" s="17"/>
      <c r="D53" s="2"/>
      <c r="E53" s="2"/>
      <c r="F53" s="2"/>
      <c r="G53" s="2"/>
      <c r="H53" s="2"/>
      <c r="I53" s="20"/>
      <c r="J53" s="21"/>
      <c r="K53" s="21"/>
    </row>
    <row r="54" spans="1:11" s="39" customFormat="1" ht="28" customHeight="1" x14ac:dyDescent="0.2">
      <c r="A54" s="22" t="s">
        <v>116</v>
      </c>
      <c r="B54" s="16" t="s">
        <v>59</v>
      </c>
      <c r="C54" s="17"/>
      <c r="D54" s="2"/>
      <c r="E54" s="2"/>
      <c r="F54" s="2"/>
      <c r="G54" s="2"/>
      <c r="H54" s="2"/>
      <c r="I54" s="20"/>
      <c r="J54" s="21"/>
      <c r="K54" s="21"/>
    </row>
    <row r="55" spans="1:11" s="39" customFormat="1" ht="28" customHeight="1" x14ac:dyDescent="0.2">
      <c r="A55" s="22" t="s">
        <v>117</v>
      </c>
      <c r="B55" s="16" t="s">
        <v>118</v>
      </c>
      <c r="C55" s="17"/>
      <c r="D55" s="2"/>
      <c r="E55" s="2"/>
      <c r="F55" s="2"/>
      <c r="G55" s="2"/>
      <c r="H55" s="2"/>
      <c r="I55" s="42"/>
      <c r="J55" s="42"/>
      <c r="K55" s="42"/>
    </row>
    <row r="56" spans="1:11" s="39" customFormat="1" ht="28" customHeight="1" x14ac:dyDescent="0.2">
      <c r="A56" s="22" t="s">
        <v>86</v>
      </c>
      <c r="B56" s="16" t="s">
        <v>59</v>
      </c>
      <c r="C56" s="17"/>
      <c r="D56" s="2"/>
      <c r="E56" s="2"/>
      <c r="F56" s="2"/>
      <c r="G56" s="2"/>
      <c r="H56" s="2"/>
      <c r="I56" s="42"/>
      <c r="J56" s="42"/>
      <c r="K56" s="42"/>
    </row>
    <row r="57" spans="1:11" s="39" customFormat="1" ht="28" customHeight="1" x14ac:dyDescent="0.2">
      <c r="A57" s="22" t="s">
        <v>119</v>
      </c>
      <c r="B57" s="16" t="s">
        <v>120</v>
      </c>
      <c r="C57" s="17"/>
      <c r="D57" s="2"/>
      <c r="E57" s="2"/>
      <c r="F57" s="2"/>
      <c r="G57" s="2"/>
      <c r="H57" s="2"/>
      <c r="I57" s="42"/>
      <c r="J57" s="42"/>
      <c r="K57" s="42"/>
    </row>
    <row r="58" spans="1:11" s="21" customFormat="1" ht="28" customHeight="1" x14ac:dyDescent="0.2">
      <c r="A58" s="22" t="s">
        <v>121</v>
      </c>
      <c r="B58" s="16" t="s">
        <v>42</v>
      </c>
      <c r="C58" s="17"/>
      <c r="D58" s="25"/>
      <c r="E58" s="43"/>
      <c r="F58" s="44"/>
      <c r="G58" s="2"/>
      <c r="H58" s="32"/>
      <c r="I58" s="20"/>
      <c r="J58" s="20"/>
      <c r="K58" s="20"/>
    </row>
    <row r="59" spans="1:11" s="39" customFormat="1" ht="28" customHeight="1" x14ac:dyDescent="0.2">
      <c r="A59" s="22" t="s">
        <v>122</v>
      </c>
      <c r="B59" s="16" t="s">
        <v>59</v>
      </c>
      <c r="C59" s="17"/>
      <c r="D59" s="2"/>
      <c r="E59" s="2"/>
      <c r="F59" s="2"/>
      <c r="G59" s="2"/>
      <c r="H59" s="2"/>
      <c r="I59" s="42"/>
      <c r="J59" s="42"/>
      <c r="K59" s="42"/>
    </row>
    <row r="60" spans="1:11" s="39" customFormat="1" ht="28" customHeight="1" x14ac:dyDescent="0.2">
      <c r="A60" s="22" t="s">
        <v>123</v>
      </c>
      <c r="B60" s="16" t="s">
        <v>59</v>
      </c>
      <c r="C60" s="17"/>
      <c r="D60" s="2"/>
      <c r="E60" s="2"/>
      <c r="F60" s="2"/>
      <c r="G60" s="2"/>
      <c r="H60" s="2"/>
      <c r="I60" s="42"/>
      <c r="J60" s="42"/>
      <c r="K60" s="42"/>
    </row>
    <row r="61" spans="1:11" s="39" customFormat="1" ht="28" customHeight="1" x14ac:dyDescent="0.2">
      <c r="A61" s="22" t="s">
        <v>124</v>
      </c>
      <c r="B61" s="16" t="s">
        <v>59</v>
      </c>
      <c r="C61" s="17"/>
      <c r="D61" s="2"/>
      <c r="E61" s="2"/>
      <c r="F61" s="2"/>
      <c r="G61" s="2"/>
      <c r="H61" s="2"/>
      <c r="I61" s="42"/>
      <c r="J61" s="42"/>
      <c r="K61" s="42"/>
    </row>
    <row r="62" spans="1:11" s="39" customFormat="1" ht="28" customHeight="1" x14ac:dyDescent="0.2">
      <c r="A62" s="22" t="s">
        <v>125</v>
      </c>
      <c r="B62" s="16" t="s">
        <v>59</v>
      </c>
      <c r="C62" s="17"/>
      <c r="D62" s="2"/>
      <c r="E62" s="2"/>
      <c r="F62" s="2"/>
      <c r="G62" s="2"/>
      <c r="H62" s="2"/>
      <c r="I62" s="42"/>
      <c r="J62" s="42"/>
      <c r="K62" s="42"/>
    </row>
    <row r="63" spans="1:11" s="21" customFormat="1" ht="28" customHeight="1" x14ac:dyDescent="0.2">
      <c r="A63" s="41" t="s">
        <v>126</v>
      </c>
      <c r="B63" s="16" t="s">
        <v>59</v>
      </c>
      <c r="C63" s="17"/>
      <c r="D63" s="2"/>
      <c r="E63" s="2"/>
      <c r="F63" s="2"/>
      <c r="G63" s="2"/>
      <c r="H63" s="2"/>
      <c r="I63" s="20"/>
      <c r="J63" s="20"/>
      <c r="K63" s="20"/>
    </row>
    <row r="64" spans="1:11" s="21" customFormat="1" ht="28" customHeight="1" x14ac:dyDescent="0.2">
      <c r="A64" s="41" t="s">
        <v>127</v>
      </c>
      <c r="B64" s="16" t="s">
        <v>59</v>
      </c>
      <c r="C64" s="17"/>
      <c r="D64" s="2"/>
      <c r="E64" s="2"/>
      <c r="F64" s="2"/>
      <c r="G64" s="2"/>
      <c r="H64" s="2"/>
      <c r="I64" s="20"/>
      <c r="J64" s="20"/>
      <c r="K64" s="20"/>
    </row>
    <row r="65" spans="1:11" s="21" customFormat="1" ht="28" customHeight="1" x14ac:dyDescent="0.2">
      <c r="A65" s="22" t="s">
        <v>128</v>
      </c>
      <c r="B65" s="16" t="s">
        <v>59</v>
      </c>
      <c r="C65" s="17"/>
      <c r="D65" s="2"/>
      <c r="E65" s="2"/>
      <c r="F65" s="2"/>
      <c r="G65" s="2"/>
      <c r="H65" s="2"/>
      <c r="I65" s="20"/>
      <c r="J65" s="20"/>
      <c r="K65" s="20"/>
    </row>
    <row r="66" spans="1:11" s="21" customFormat="1" ht="28" customHeight="1" x14ac:dyDescent="0.2">
      <c r="A66" s="29" t="s">
        <v>129</v>
      </c>
      <c r="B66" s="16" t="s">
        <v>130</v>
      </c>
      <c r="C66" s="17"/>
      <c r="D66" s="2"/>
      <c r="E66" s="2"/>
      <c r="F66" s="2"/>
      <c r="G66" s="2"/>
      <c r="H66" s="2"/>
      <c r="I66" s="20"/>
      <c r="J66" s="20"/>
      <c r="K66" s="20"/>
    </row>
    <row r="67" spans="1:11" s="21" customFormat="1" ht="28" customHeight="1" x14ac:dyDescent="0.2">
      <c r="A67" s="22" t="s">
        <v>131</v>
      </c>
      <c r="B67" s="16" t="s">
        <v>132</v>
      </c>
      <c r="C67" s="17"/>
      <c r="D67" s="2"/>
      <c r="E67" s="2"/>
      <c r="F67" s="2"/>
      <c r="G67" s="2"/>
      <c r="H67" s="2"/>
      <c r="I67" s="20"/>
      <c r="J67" s="20"/>
      <c r="K67" s="20"/>
    </row>
    <row r="68" spans="1:11" s="21" customFormat="1" ht="28" customHeight="1" x14ac:dyDescent="0.2">
      <c r="A68" s="22"/>
      <c r="B68" s="9"/>
      <c r="C68" s="17"/>
      <c r="D68" s="2"/>
      <c r="E68" s="2"/>
      <c r="F68" s="2"/>
      <c r="G68" s="2"/>
      <c r="H68" s="2"/>
      <c r="I68" s="20"/>
      <c r="J68" s="20"/>
      <c r="K68" s="20"/>
    </row>
    <row r="69" spans="1:11" s="21" customFormat="1" ht="28" customHeight="1" x14ac:dyDescent="0.2">
      <c r="A69" s="22"/>
      <c r="B69" s="9"/>
      <c r="C69" s="17"/>
      <c r="D69" s="2"/>
      <c r="E69" s="2"/>
      <c r="F69" s="2"/>
      <c r="G69" s="2"/>
      <c r="H69" s="2"/>
      <c r="I69" s="20"/>
      <c r="J69" s="20"/>
      <c r="K69" s="20"/>
    </row>
    <row r="70" spans="1:11" s="21" customFormat="1" ht="28" customHeight="1" x14ac:dyDescent="0.2">
      <c r="A70" s="22"/>
      <c r="B70" s="9"/>
      <c r="C70" s="17"/>
      <c r="D70" s="2"/>
      <c r="E70" s="2"/>
      <c r="F70" s="2"/>
      <c r="G70" s="2"/>
      <c r="H70" s="2"/>
      <c r="I70" s="20"/>
      <c r="J70" s="20"/>
      <c r="K70" s="20"/>
    </row>
    <row r="71" spans="1:11" s="50" customFormat="1" x14ac:dyDescent="0.25">
      <c r="A71" s="45"/>
      <c r="B71" s="46"/>
      <c r="C71" s="47"/>
      <c r="D71" s="48"/>
      <c r="E71" s="48"/>
      <c r="F71" s="48"/>
      <c r="G71" s="48"/>
      <c r="H71" s="48"/>
      <c r="I71" s="49"/>
      <c r="J71" s="49"/>
      <c r="K71" s="49"/>
    </row>
  </sheetData>
  <pageMargins left="0.16" right="0.16" top="0.41000000000000009" bottom="0.41000000000000009" header="0.5" footer="0.5"/>
  <pageSetup paperSize="9" scale="47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Dropdown Menu + INV #'s</vt:lpstr>
      <vt:lpstr>'Dropdown Menu + INV #''s'!Print_Area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Kellie White</dc:creator>
  <cp:lastModifiedBy>Kellie White</cp:lastModifiedBy>
  <dcterms:created xsi:type="dcterms:W3CDTF">2024-10-08T03:28:54Z</dcterms:created>
  <dcterms:modified xsi:type="dcterms:W3CDTF">2024-10-08T03:29:57Z</dcterms:modified>
</cp:coreProperties>
</file>